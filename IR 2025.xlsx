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re.conte\Desktop\"/>
    </mc:Choice>
  </mc:AlternateContent>
  <xr:revisionPtr revIDLastSave="0" documentId="13_ncr:1_{2AA90474-86D6-46A5-953E-6750F8CD07E5}" xr6:coauthVersionLast="47" xr6:coauthVersionMax="47" xr10:uidLastSave="{00000000-0000-0000-0000-000000000000}"/>
  <bookViews>
    <workbookView xWindow="-120" yWindow="-120" windowWidth="20730" windowHeight="11040" tabRatio="0" xr2:uid="{00000000-000D-0000-FFFF-FFFF00000000}"/>
  </bookViews>
  <sheets>
    <sheet name="TITULAR" sheetId="1" r:id="rId1"/>
    <sheet name="INFORMES" sheetId="5" r:id="rId2"/>
    <sheet name="NOTAS" sheetId="7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5" l="1"/>
</calcChain>
</file>

<file path=xl/sharedStrings.xml><?xml version="1.0" encoding="utf-8"?>
<sst xmlns="http://schemas.openxmlformats.org/spreadsheetml/2006/main" count="114" uniqueCount="95">
  <si>
    <t>1. DADOS DO TITULAR</t>
  </si>
  <si>
    <t>Preencha com seus dados atuais de cada banco</t>
  </si>
  <si>
    <t>CPF</t>
  </si>
  <si>
    <t>Nome</t>
  </si>
  <si>
    <t>Data Nascimento</t>
  </si>
  <si>
    <t>Rua</t>
  </si>
  <si>
    <t>Rua abreviada</t>
  </si>
  <si>
    <t>CEP</t>
  </si>
  <si>
    <t>Telefone Fixo</t>
  </si>
  <si>
    <t>E-mail</t>
  </si>
  <si>
    <t>Alteração entrega anterior?</t>
  </si>
  <si>
    <t>Dependente Cônjuge?</t>
  </si>
  <si>
    <t>Residente no exterior?</t>
  </si>
  <si>
    <t>Telefone celular</t>
  </si>
  <si>
    <t>Título de eleitor</t>
  </si>
  <si>
    <t>Cônjuge</t>
  </si>
  <si>
    <t xml:space="preserve">Teocrácio Pereira </t>
  </si>
  <si>
    <t>Maricota das Neves</t>
  </si>
  <si>
    <t>Avenida Donald Trump, 178</t>
  </si>
  <si>
    <t>teocracio.pereira@hotmail.com</t>
  </si>
  <si>
    <t>Não</t>
  </si>
  <si>
    <t>Sim</t>
  </si>
  <si>
    <t>Av. Trump, 178</t>
  </si>
  <si>
    <t>2. INFORMES DE RENDIMENTOS BANCÁRIOS</t>
  </si>
  <si>
    <t>Anexo</t>
  </si>
  <si>
    <t>Instituição Bancária</t>
  </si>
  <si>
    <t>Valor Atual (R$)</t>
  </si>
  <si>
    <t>1° Banco</t>
  </si>
  <si>
    <t>2° Banco</t>
  </si>
  <si>
    <t>3° Banco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</si>
  <si>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</si>
  <si>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</si>
  <si>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</si>
  <si>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</si>
  <si>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</si>
  <si>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</si>
  <si>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</si>
  <si>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</si>
  <si>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</si>
  <si>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</si>
  <si>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</si>
  <si>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241 - Banco Clássico</t>
  </si>
  <si>
    <t>250 - Banco de Crédito e Varejo (BCV)</t>
  </si>
  <si>
    <t>260 - Nubank</t>
  </si>
  <si>
    <t>290 - PagBank</t>
  </si>
  <si>
    <t>336 - C6 Bank</t>
  </si>
  <si>
    <t>341 - Itaú Unibanco</t>
  </si>
  <si>
    <t>376 - Banco JPMorgan S.A.</t>
  </si>
  <si>
    <t>380 - PicPay</t>
  </si>
  <si>
    <t>422 - Banco Safra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</si>
  <si>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</si>
  <si>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</si>
  <si>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</si>
  <si>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</si>
  <si>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</si>
  <si>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634 - Banco Triângulo</t>
  </si>
  <si>
    <t>654 - Banco AJ Renner</t>
  </si>
  <si>
    <t>655 - Banco Votorantim</t>
  </si>
  <si>
    <t>707 - Banco Daycoval</t>
  </si>
  <si>
    <t>734 - Banco Gerdau</t>
  </si>
  <si>
    <t>735 - Banco Neon</t>
  </si>
  <si>
    <t>746 - Banco Modal</t>
  </si>
  <si>
    <t>748 - Banco Cooperativo Sicredi S.A.</t>
  </si>
  <si>
    <t>749 - Banco Simples</t>
  </si>
  <si>
    <t>001 - Banco do Brasil</t>
  </si>
  <si>
    <t>004 - Banco do Nordeste do Brasil</t>
  </si>
  <si>
    <t>024 - Banco de Pernambuco</t>
  </si>
  <si>
    <t>029 - Banco do Estado do Rio de Janeiro</t>
  </si>
  <si>
    <t>033 - Banco Santander</t>
  </si>
  <si>
    <t>037 - Banco do Estado do Pará</t>
  </si>
  <si>
    <t>041 - Banco do Estado do Rio Grande do Sul</t>
  </si>
  <si>
    <t>003 - Bando Amazônia</t>
  </si>
  <si>
    <t>044 - Banco BVA</t>
  </si>
  <si>
    <t>065 - Banco Lemon</t>
  </si>
  <si>
    <t>062 - Hipercard Banco Múltiplo</t>
  </si>
  <si>
    <t>072 - Banco Rural Mais</t>
  </si>
  <si>
    <t>066 - Morgan Stanley</t>
  </si>
  <si>
    <t>074 - Banco J. Safra</t>
  </si>
  <si>
    <t>077 - Banco Inter</t>
  </si>
  <si>
    <t>079 - Banco JBS</t>
  </si>
  <si>
    <t>082 - Banco Topázio</t>
  </si>
  <si>
    <t>BB_informe2025.pdf</t>
  </si>
  <si>
    <t>Bergs_informe2025.pdf</t>
  </si>
  <si>
    <t>CEF_informe2025</t>
  </si>
  <si>
    <t>3. NOTAS BANCÁRIAS OU EXTRATOS DE HOLERITES</t>
  </si>
  <si>
    <t>São todos os valores de entradas mensais de receitas</t>
  </si>
  <si>
    <t>Preencha os dados da sua pessoa física abaixo:</t>
  </si>
  <si>
    <t>ENTRADAS</t>
  </si>
  <si>
    <t>DATA</t>
  </si>
  <si>
    <t>CATEGORIA</t>
  </si>
  <si>
    <t>VALOR</t>
  </si>
  <si>
    <t>FREELANCE</t>
  </si>
  <si>
    <t>CNPJ</t>
  </si>
  <si>
    <t>HOLERITE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</si>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</sst>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00000\-000"/>
    <numFmt numFmtId="165" formatCode="00,000,000,0&quot;-&quot;00"/>
    <numFmt numFmtId="166" formatCode="&quot;(&quot;00&quot;)&quot;0000&quot;-&quot;0000"/>
    <numFmt numFmtId="167" formatCode="&quot;(&quot;00&quot;)&quot;00000&quot;-&quot;0000"/>
    <numFmt numFmtId="168" formatCode="mmm\-yy"/>
    <numFmt numFmtId="169" formatCode="000&quot;.&quot;000&quot;.&quot;000&quot;-&quot;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2" tint="-0.499984740745262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2" tint="-0.499984740745262"/>
      </top>
      <bottom/>
      <diagonal/>
    </border>
    <border>
      <left/>
      <right/>
      <top/>
      <bottom style="medium">
        <color theme="2" tint="-0.49998474074526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4" xfId="0" applyFont="1" applyBorder="1" applyAlignment="1">
      <alignment vertical="center"/>
    </xf>
    <xf numFmtId="0" fontId="0" fillId="0" borderId="0" xfId="0" applyFill="1" applyBorder="1" applyAlignment="1">
      <alignment horizontal="left" vertical="center" indent="3" shrinkToFit="1"/>
    </xf>
    <xf numFmtId="0" fontId="5" fillId="0" borderId="0" xfId="0" applyFont="1"/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7" fontId="6" fillId="4" borderId="7" xfId="1" applyNumberFormat="1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0" fillId="0" borderId="0" xfId="0" applyProtection="1">
      <protection hidden="1"/>
    </xf>
    <xf numFmtId="0" fontId="0" fillId="0" borderId="0" xfId="0" applyFill="1" applyBorder="1" applyAlignment="1" applyProtection="1">
      <alignment horizontal="left" vertical="center" indent="3" shrinkToFit="1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7" fillId="5" borderId="0" xfId="0" applyFont="1" applyFill="1" applyAlignment="1">
      <alignment horizontal="center" vertical="center"/>
    </xf>
    <xf numFmtId="7" fontId="7" fillId="5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 applyProtection="1">
      <alignment horizontal="left"/>
      <protection locked="0"/>
    </xf>
    <xf numFmtId="169" fontId="3" fillId="2" borderId="5" xfId="0" applyNumberFormat="1" applyFont="1" applyFill="1" applyBorder="1" applyAlignment="1" applyProtection="1">
      <alignment horizontal="left"/>
      <protection locked="0"/>
    </xf>
    <xf numFmtId="14" fontId="3" fillId="2" borderId="5" xfId="0" applyNumberFormat="1" applyFont="1" applyFill="1" applyBorder="1" applyAlignment="1" applyProtection="1">
      <alignment horizontal="left"/>
      <protection locked="0"/>
    </xf>
    <xf numFmtId="164" fontId="3" fillId="2" borderId="5" xfId="0" applyNumberFormat="1" applyFont="1" applyFill="1" applyBorder="1" applyAlignment="1" applyProtection="1">
      <alignment horizontal="left"/>
      <protection locked="0"/>
    </xf>
    <xf numFmtId="166" fontId="3" fillId="2" borderId="5" xfId="0" applyNumberFormat="1" applyFont="1" applyFill="1" applyBorder="1" applyAlignment="1" applyProtection="1">
      <alignment horizontal="left"/>
      <protection locked="0"/>
    </xf>
    <xf numFmtId="167" fontId="3" fillId="2" borderId="5" xfId="0" applyNumberFormat="1" applyFont="1" applyFill="1" applyBorder="1" applyAlignment="1" applyProtection="1">
      <alignment horizontal="left"/>
      <protection locked="0"/>
    </xf>
    <xf numFmtId="0" fontId="4" fillId="2" borderId="5" xfId="2" applyFill="1" applyBorder="1" applyAlignment="1" applyProtection="1">
      <alignment horizontal="left"/>
      <protection locked="0"/>
    </xf>
    <xf numFmtId="0" fontId="0" fillId="0" borderId="0" xfId="0" applyBorder="1" applyAlignment="1">
      <alignment vertical="center" wrapText="1"/>
    </xf>
    <xf numFmtId="0" fontId="0" fillId="0" borderId="0" xfId="0" applyBorder="1" applyAlignment="1" applyProtection="1">
      <alignment horizontal="left" vertical="center" shrinkToFit="1"/>
      <protection hidden="1"/>
    </xf>
    <xf numFmtId="165" fontId="3" fillId="2" borderId="5" xfId="0" applyNumberFormat="1" applyFont="1" applyFill="1" applyBorder="1" applyAlignment="1" applyProtection="1">
      <alignment horizontal="left"/>
      <protection locked="0"/>
    </xf>
    <xf numFmtId="7" fontId="3" fillId="2" borderId="5" xfId="1" applyNumberFormat="1" applyFont="1" applyFill="1" applyBorder="1" applyAlignment="1" applyProtection="1">
      <alignment horizontal="left"/>
      <protection locked="0"/>
    </xf>
    <xf numFmtId="168" fontId="3" fillId="0" borderId="4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7" fontId="3" fillId="0" borderId="5" xfId="1" applyNumberFormat="1" applyFont="1" applyFill="1" applyBorder="1" applyAlignment="1" applyProtection="1">
      <alignment horizontal="right"/>
      <protection locked="0"/>
    </xf>
    <xf numFmtId="0" fontId="0" fillId="2" borderId="1" xfId="0" applyFill="1" applyBorder="1" applyAlignment="1" applyProtection="1">
      <alignment horizontal="left" vertical="center" indent="3" shrinkToFit="1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0" fillId="2" borderId="1" xfId="0" applyFill="1" applyBorder="1" applyAlignment="1">
      <alignment horizontal="left" vertical="center" indent="3" shrinkToFi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499984740745262"/>
        <name val="Calibri"/>
        <scheme val="minor"/>
      </font>
      <numFmt numFmtId="11" formatCode="&quot;R$&quot;\ #,##0.00;\-&quot;R$&quot;\ 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499984740745262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499984740745262"/>
        <name val="Calibri"/>
        <scheme val="minor"/>
      </font>
      <numFmt numFmtId="168" formatCode="mmm\-yy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border outline="0">
        <top style="thin">
          <color theme="0" tint="-0.24994659260841701"/>
        </top>
      </border>
    </dxf>
    <dxf>
      <border outline="0">
        <top style="thin">
          <color theme="0" tint="-0.24994659260841701"/>
        </top>
        <bottom style="thin">
          <color theme="0" tint="-0.24994659260841701"/>
        </bottom>
      </border>
    </dxf>
    <dxf>
      <protection locked="0" hidden="0"/>
    </dxf>
    <dxf>
      <border outline="0">
        <bottom style="thin">
          <color theme="0" tint="-0.24994659260841701"/>
        </bottom>
      </border>
    </dxf>
    <dxf>
      <font>
        <b val="0"/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>
          <fgColor indexed="64"/>
          <bgColor theme="7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hyperlink" Target="#INFORMES!A1"/><Relationship Id="rId1" Type="http://schemas.openxmlformats.org/officeDocument/2006/relationships/hyperlink" Target="#NOTAS!A1"/><Relationship Id="rId6" Type="http://schemas.openxmlformats.org/officeDocument/2006/relationships/image" Target="../media/image3.png"/><Relationship Id="rId5" Type="http://schemas.openxmlformats.org/officeDocument/2006/relationships/hyperlink" Target="#TITULAR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#INFORMES!A1"/><Relationship Id="rId6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1031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114300</xdr:rowOff>
    </xdr:to>
    <xdr:sp macro="" textlink="">
      <xdr:nvSpPr>
        <xdr:cNvPr id="1032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85725</xdr:rowOff>
    </xdr:to>
    <xdr:sp macro="" textlink="">
      <xdr:nvSpPr>
        <xdr:cNvPr id="1025" name="AutoShape 1" descr="Imagens Caduceu Hermes PNG e Vetor, com Fundo Transparente ...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</xdr:col>
      <xdr:colOff>1819275</xdr:colOff>
      <xdr:row>26</xdr:row>
      <xdr:rowOff>180975</xdr:rowOff>
    </xdr:from>
    <xdr:to>
      <xdr:col>7</xdr:col>
      <xdr:colOff>2828925</xdr:colOff>
      <xdr:row>29</xdr:row>
      <xdr:rowOff>38100</xdr:rowOff>
    </xdr:to>
    <xdr:grpSp>
      <xdr:nvGrpSpPr>
        <xdr:cNvPr id="23" name="Agrupar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7000875" y="5419725"/>
          <a:ext cx="1009650" cy="428625"/>
          <a:chOff x="8848725" y="5476875"/>
          <a:chExt cx="1009650" cy="428625"/>
        </a:xfrm>
      </xdr:grpSpPr>
      <xdr:sp macro="" textlink="">
        <xdr:nvSpPr>
          <xdr:cNvPr id="24" name="Seta para a Direita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8848725" y="5476875"/>
            <a:ext cx="1009650" cy="428625"/>
          </a:xfrm>
          <a:prstGeom prst="rightArrow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CaixaDeTexto 2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8886825" y="5600701"/>
            <a:ext cx="76200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chemeClr val="bg2">
                    <a:lumMod val="50000"/>
                  </a:schemeClr>
                </a:solidFill>
              </a:rPr>
              <a:t>PRÓXIMA</a:t>
            </a:r>
          </a:p>
        </xdr:txBody>
      </xdr:sp>
    </xdr:grp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A4F3DD41-9F19-4CB0-AF64-983E6F5F4F31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114300</xdr:rowOff>
    </xdr:to>
    <xdr:sp macro="" textlink="">
      <xdr:nvSpPr>
        <xdr:cNvPr id="3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4B1924E9-20A0-4CCE-A951-B7B00076054B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14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5E15DEA-0EEF-4ACC-9CBA-21686F0E9CF0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15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8F188263-2BC1-42D7-9CAE-CB9A1344C9E5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30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68DF5606-A1DA-41E0-BEC0-3C5EF60F3015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31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9F727F8A-B6A5-46E5-8AF3-2F0D5EC1278A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93350</xdr:rowOff>
    </xdr:from>
    <xdr:to>
      <xdr:col>13</xdr:col>
      <xdr:colOff>0</xdr:colOff>
      <xdr:row>7</xdr:row>
      <xdr:rowOff>9525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B85A813D-AA4E-4BCB-9B19-9B6D3B7B7CD3}"/>
            </a:ext>
          </a:extLst>
        </xdr:cNvPr>
        <xdr:cNvGrpSpPr/>
      </xdr:nvGrpSpPr>
      <xdr:grpSpPr>
        <a:xfrm>
          <a:off x="114300" y="93350"/>
          <a:ext cx="10963275" cy="1154425"/>
          <a:chOff x="-1" y="-2374"/>
          <a:chExt cx="13982701" cy="1790700"/>
        </a:xfrm>
      </xdr:grpSpPr>
      <xdr:pic>
        <xdr:nvPicPr>
          <xdr:cNvPr id="33" name="Imagem 32" descr="No que investir para ganhar dinheiro? Veja dicas e comece a ...">
            <a:extLst>
              <a:ext uri="{FF2B5EF4-FFF2-40B4-BE49-F238E27FC236}">
                <a16:creationId xmlns:a16="http://schemas.microsoft.com/office/drawing/2014/main" id="{EC3B0D7D-2554-94FB-213F-AEAB3ED9991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" r="71762"/>
          <a:stretch/>
        </xdr:blipFill>
        <xdr:spPr bwMode="auto">
          <a:xfrm rot="5400000">
            <a:off x="6100763" y="-6100764"/>
            <a:ext cx="1781173" cy="13982701"/>
          </a:xfrm>
          <a:prstGeom prst="rect">
            <a:avLst/>
          </a:prstGeom>
          <a:noFill/>
          <a:ln>
            <a:solidFill>
              <a:schemeClr val="tx1"/>
            </a:solidFill>
          </a:ln>
          <a:effectLst>
            <a:outerShdw dist="50800" dir="5400000" algn="ctr" rotWithShape="0">
              <a:srgbClr val="000000"/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F3820206-F7D4-A079-B9AE-73F13E332C1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148"/>
          <a:stretch/>
        </xdr:blipFill>
        <xdr:spPr>
          <a:xfrm>
            <a:off x="1905237" y="-2374"/>
            <a:ext cx="10021743" cy="1790700"/>
          </a:xfrm>
          <a:prstGeom prst="parallelogram">
            <a:avLst/>
          </a:prstGeom>
          <a:ln>
            <a:noFill/>
          </a:ln>
        </xdr:spPr>
      </xdr:pic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71B9C8D5-FDC3-5B7D-79CF-FECB4A21FB8C}"/>
              </a:ext>
            </a:extLst>
          </xdr:cNvPr>
          <xdr:cNvGrpSpPr/>
        </xdr:nvGrpSpPr>
        <xdr:grpSpPr>
          <a:xfrm>
            <a:off x="2189330" y="0"/>
            <a:ext cx="9519364" cy="1600201"/>
            <a:chOff x="2844042" y="-9525"/>
            <a:chExt cx="10873299" cy="1600201"/>
          </a:xfrm>
        </xdr:grpSpPr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7AF6107C-5464-B35E-0115-1F490B7CF94D}"/>
                </a:ext>
              </a:extLst>
            </xdr:cNvPr>
            <xdr:cNvSpPr txBox="1"/>
          </xdr:nvSpPr>
          <xdr:spPr>
            <a:xfrm>
              <a:off x="2844042" y="-9525"/>
              <a:ext cx="10873299" cy="9429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4200">
                  <a:solidFill>
                    <a:schemeClr val="bg2">
                      <a:lumMod val="50000"/>
                    </a:schemeClr>
                  </a:solidFill>
                </a:rPr>
                <a:t>IMPOSTO DE RENDA 2025 </a:t>
              </a:r>
            </a:p>
          </xdr:txBody>
        </xdr:sp>
        <xdr:sp macro="" textlink="">
          <xdr:nvSpPr>
            <xdr:cNvPr id="37" name="Retângulo Arredondado 32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A364FC2-84CD-7A54-1563-30A0CF2FAADB}"/>
                </a:ext>
              </a:extLst>
            </xdr:cNvPr>
            <xdr:cNvSpPr/>
          </xdr:nvSpPr>
          <xdr:spPr>
            <a:xfrm>
              <a:off x="4092920" y="1143000"/>
              <a:ext cx="1785872" cy="409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bg2">
                      <a:lumMod val="50000"/>
                    </a:schemeClr>
                  </a:solidFill>
                </a:rPr>
                <a:t>TITULAR</a:t>
              </a:r>
            </a:p>
          </xdr:txBody>
        </xdr:sp>
        <xdr:sp macro="" textlink="">
          <xdr:nvSpPr>
            <xdr:cNvPr id="38" name="Retângulo Arredondado 33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49AFCDE3-4932-D858-1873-0892D341D710}"/>
                </a:ext>
              </a:extLst>
            </xdr:cNvPr>
            <xdr:cNvSpPr/>
          </xdr:nvSpPr>
          <xdr:spPr>
            <a:xfrm>
              <a:off x="6917083" y="1162050"/>
              <a:ext cx="1785003" cy="409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bg1">
                      <a:lumMod val="50000"/>
                    </a:schemeClr>
                  </a:solidFill>
                </a:rPr>
                <a:t>INFORMES</a:t>
              </a:r>
            </a:p>
          </xdr:txBody>
        </xdr:sp>
        <xdr:sp macro="" textlink="">
          <xdr:nvSpPr>
            <xdr:cNvPr id="39" name="Retângulo Arredondado 34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CF60391B-D1FC-247C-1AFD-7974F97E319E}"/>
                </a:ext>
              </a:extLst>
            </xdr:cNvPr>
            <xdr:cNvSpPr/>
          </xdr:nvSpPr>
          <xdr:spPr>
            <a:xfrm>
              <a:off x="9741245" y="1181101"/>
              <a:ext cx="1785872" cy="409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bg2">
                      <a:lumMod val="50000"/>
                    </a:schemeClr>
                  </a:solidFill>
                </a:rPr>
                <a:t>NOTAS</a:t>
              </a:r>
            </a:p>
          </xdr:txBody>
        </xdr:sp>
      </xdr:grpSp>
    </xdr:grpSp>
    <xdr:clientData/>
  </xdr:twoCellAnchor>
  <xdr:twoCellAnchor>
    <xdr:from>
      <xdr:col>10</xdr:col>
      <xdr:colOff>323851</xdr:colOff>
      <xdr:row>1</xdr:row>
      <xdr:rowOff>19050</xdr:rowOff>
    </xdr:from>
    <xdr:to>
      <xdr:col>12</xdr:col>
      <xdr:colOff>400329</xdr:colOff>
      <xdr:row>9</xdr:row>
      <xdr:rowOff>49812</xdr:rowOff>
    </xdr:to>
    <xdr:pic>
      <xdr:nvPicPr>
        <xdr:cNvPr id="40" name="Imagem 39" descr="407-4070893_leao-png-leao-com-fundo-branco - Contabilidade Moura">
          <a:extLst>
            <a:ext uri="{FF2B5EF4-FFF2-40B4-BE49-F238E27FC236}">
              <a16:creationId xmlns:a16="http://schemas.microsoft.com/office/drawing/2014/main" id="{AEFDE7B6-5687-43D8-A08F-53CE596872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75"/>
        <a:stretch/>
      </xdr:blipFill>
      <xdr:spPr bwMode="auto">
        <a:xfrm>
          <a:off x="9572626" y="114300"/>
          <a:ext cx="1295678" cy="1440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1</xdr:row>
      <xdr:rowOff>7625</xdr:rowOff>
    </xdr:from>
    <xdr:to>
      <xdr:col>3</xdr:col>
      <xdr:colOff>228878</xdr:colOff>
      <xdr:row>9</xdr:row>
      <xdr:rowOff>38387</xdr:rowOff>
    </xdr:to>
    <xdr:pic>
      <xdr:nvPicPr>
        <xdr:cNvPr id="41" name="Imagem 40" descr="407-4070893_leao-png-leao-com-fundo-branco - Contabilidade Moura">
          <a:extLst>
            <a:ext uri="{FF2B5EF4-FFF2-40B4-BE49-F238E27FC236}">
              <a16:creationId xmlns:a16="http://schemas.microsoft.com/office/drawing/2014/main" id="{1025FD8E-E076-4567-92AE-25845947A7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75"/>
        <a:stretch/>
      </xdr:blipFill>
      <xdr:spPr bwMode="auto">
        <a:xfrm>
          <a:off x="266700" y="102875"/>
          <a:ext cx="1295678" cy="1440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133350</xdr:colOff>
      <xdr:row>4</xdr:row>
      <xdr:rowOff>171450</xdr:rowOff>
    </xdr:from>
    <xdr:to>
      <xdr:col>6</xdr:col>
      <xdr:colOff>749028</xdr:colOff>
      <xdr:row>6</xdr:row>
      <xdr:rowOff>54494</xdr:rowOff>
    </xdr:to>
    <xdr:sp macro="" textlink="">
      <xdr:nvSpPr>
        <xdr:cNvPr id="52" name="Retângulo Arredondado 33">
          <a:extLst>
            <a:ext uri="{FF2B5EF4-FFF2-40B4-BE49-F238E27FC236}">
              <a16:creationId xmlns:a16="http://schemas.microsoft.com/office/drawing/2014/main" id="{8E56793A-B86C-4208-B764-A097D6E868C3}"/>
            </a:ext>
          </a:extLst>
        </xdr:cNvPr>
        <xdr:cNvSpPr/>
      </xdr:nvSpPr>
      <xdr:spPr>
        <a:xfrm>
          <a:off x="2686050" y="838200"/>
          <a:ext cx="1225278" cy="26404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4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5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</xdr:col>
      <xdr:colOff>1819275</xdr:colOff>
      <xdr:row>28</xdr:row>
      <xdr:rowOff>161925</xdr:rowOff>
    </xdr:from>
    <xdr:to>
      <xdr:col>7</xdr:col>
      <xdr:colOff>2828925</xdr:colOff>
      <xdr:row>31</xdr:row>
      <xdr:rowOff>19050</xdr:rowOff>
    </xdr:to>
    <xdr:grpSp>
      <xdr:nvGrpSpPr>
        <xdr:cNvPr id="21" name="Agrupar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7000875" y="5743575"/>
          <a:ext cx="1009650" cy="428625"/>
          <a:chOff x="8848725" y="5476875"/>
          <a:chExt cx="1009650" cy="428625"/>
        </a:xfrm>
      </xdr:grpSpPr>
      <xdr:sp macro="" textlink="">
        <xdr:nvSpPr>
          <xdr:cNvPr id="14" name="Seta para a Direita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8848725" y="5476875"/>
            <a:ext cx="1009650" cy="428625"/>
          </a:xfrm>
          <a:prstGeom prst="rightArrow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8886825" y="5600701"/>
            <a:ext cx="76200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chemeClr val="bg2">
                    <a:lumMod val="50000"/>
                  </a:schemeClr>
                </a:solidFill>
              </a:rPr>
              <a:t>PRÓXIMA</a:t>
            </a:r>
          </a:p>
        </xdr:txBody>
      </xdr:sp>
    </xdr:grpSp>
    <xdr:clientData/>
  </xdr:twoCellAnchor>
  <xdr:twoCellAnchor editAs="absolute">
    <xdr:from>
      <xdr:col>6</xdr:col>
      <xdr:colOff>19050</xdr:colOff>
      <xdr:row>28</xdr:row>
      <xdr:rowOff>152400</xdr:rowOff>
    </xdr:from>
    <xdr:to>
      <xdr:col>6</xdr:col>
      <xdr:colOff>1028700</xdr:colOff>
      <xdr:row>31</xdr:row>
      <xdr:rowOff>9525</xdr:rowOff>
    </xdr:to>
    <xdr:grpSp>
      <xdr:nvGrpSpPr>
        <xdr:cNvPr id="18" name="Agrupar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3181350" y="5734050"/>
          <a:ext cx="1009650" cy="428625"/>
          <a:chOff x="9877425" y="5476875"/>
          <a:chExt cx="1009650" cy="428625"/>
        </a:xfrm>
      </xdr:grpSpPr>
      <xdr:sp macro="" textlink="">
        <xdr:nvSpPr>
          <xdr:cNvPr id="16" name="Seta para a Direita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 rot="10800000">
            <a:off x="9877425" y="5476875"/>
            <a:ext cx="1009650" cy="428625"/>
          </a:xfrm>
          <a:prstGeom prst="rightArrow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CaixaDeTexto 1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086975" y="5581650"/>
            <a:ext cx="800100" cy="2095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chemeClr val="bg2">
                    <a:lumMod val="50000"/>
                  </a:schemeClr>
                </a:solidFill>
              </a:rPr>
              <a:t>ANTERIOR</a:t>
            </a:r>
          </a:p>
        </xdr:txBody>
      </xdr:sp>
    </xdr:grpSp>
    <xdr:clientData/>
  </xdr:twoCellAnchor>
  <xdr:twoCellAnchor editAs="oneCell">
    <xdr:from>
      <xdr:col>6</xdr:col>
      <xdr:colOff>1816494</xdr:colOff>
      <xdr:row>17</xdr:row>
      <xdr:rowOff>27630</xdr:rowOff>
    </xdr:from>
    <xdr:to>
      <xdr:col>6</xdr:col>
      <xdr:colOff>1996494</xdr:colOff>
      <xdr:row>17</xdr:row>
      <xdr:rowOff>207630</xdr:rowOff>
    </xdr:to>
    <xdr:pic>
      <xdr:nvPicPr>
        <xdr:cNvPr id="22" name="Imagem 21" descr="C:\Users\alexandre.conte\Downloads\paper (1)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990395">
          <a:off x="4864494" y="3447105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1811731</xdr:colOff>
      <xdr:row>22</xdr:row>
      <xdr:rowOff>27356</xdr:rowOff>
    </xdr:from>
    <xdr:to>
      <xdr:col>6</xdr:col>
      <xdr:colOff>1991731</xdr:colOff>
      <xdr:row>22</xdr:row>
      <xdr:rowOff>207356</xdr:rowOff>
    </xdr:to>
    <xdr:pic>
      <xdr:nvPicPr>
        <xdr:cNvPr id="23" name="Imagem 22" descr="C:\Users\alexandre.conte\Downloads\paper (1)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990395">
          <a:off x="4859731" y="4542206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1821256</xdr:colOff>
      <xdr:row>27</xdr:row>
      <xdr:rowOff>27081</xdr:rowOff>
    </xdr:from>
    <xdr:to>
      <xdr:col>6</xdr:col>
      <xdr:colOff>2001256</xdr:colOff>
      <xdr:row>27</xdr:row>
      <xdr:rowOff>207081</xdr:rowOff>
    </xdr:to>
    <xdr:pic>
      <xdr:nvPicPr>
        <xdr:cNvPr id="24" name="Imagem 23" descr="C:\Users\alexandre.conte\Downloads\paper (1)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990395">
          <a:off x="4869256" y="5637306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93350</xdr:rowOff>
    </xdr:from>
    <xdr:to>
      <xdr:col>13</xdr:col>
      <xdr:colOff>0</xdr:colOff>
      <xdr:row>9</xdr:row>
      <xdr:rowOff>49812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DAB3A73D-B87D-D3CD-C3CC-2AB26D023510}"/>
            </a:ext>
          </a:extLst>
        </xdr:cNvPr>
        <xdr:cNvGrpSpPr/>
      </xdr:nvGrpSpPr>
      <xdr:grpSpPr>
        <a:xfrm>
          <a:off x="114300" y="93350"/>
          <a:ext cx="10972800" cy="1461412"/>
          <a:chOff x="114300" y="93350"/>
          <a:chExt cx="10972800" cy="1461412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GrpSpPr/>
        </xdr:nvGrpSpPr>
        <xdr:grpSpPr>
          <a:xfrm>
            <a:off x="114300" y="93350"/>
            <a:ext cx="10972800" cy="1154425"/>
            <a:chOff x="-1" y="-2374"/>
            <a:chExt cx="13982701" cy="1790700"/>
          </a:xfrm>
        </xdr:grpSpPr>
        <xdr:pic>
          <xdr:nvPicPr>
            <xdr:cNvPr id="28" name="Imagem 27" descr="No que investir para ganhar dinheiro? Veja dicas e comece a ...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>
              <a:duotone>
                <a:schemeClr val="bg2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1" r="71762"/>
            <a:stretch/>
          </xdr:blipFill>
          <xdr:spPr bwMode="auto">
            <a:xfrm rot="5400000">
              <a:off x="6100763" y="-6100764"/>
              <a:ext cx="1781173" cy="1398270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  <a:effectLst>
              <a:outerShdw dist="50800" dir="5400000" algn="ctr" rotWithShape="0">
                <a:srgbClr val="000000"/>
              </a:outerShdw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/>
            <a:srcRect r="148"/>
            <a:stretch/>
          </xdr:blipFill>
          <xdr:spPr>
            <a:xfrm>
              <a:off x="1905237" y="-2374"/>
              <a:ext cx="10021743" cy="1790700"/>
            </a:xfrm>
            <a:prstGeom prst="parallelogram">
              <a:avLst/>
            </a:prstGeom>
            <a:ln>
              <a:noFill/>
            </a:ln>
          </xdr:spPr>
        </xdr:pic>
        <xdr:grpSp>
          <xdr:nvGrpSpPr>
            <xdr:cNvPr id="30" name="Agrupar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2189330" y="0"/>
              <a:ext cx="9519364" cy="1600201"/>
              <a:chOff x="2844042" y="-9525"/>
              <a:chExt cx="10873299" cy="1600201"/>
            </a:xfrm>
          </xdr:grpSpPr>
          <xdr:sp macro="" textlink="">
            <xdr:nvSpPr>
              <xdr:cNvPr id="32" name="CaixaDeTexto 31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 txBox="1"/>
            </xdr:nvSpPr>
            <xdr:spPr>
              <a:xfrm>
                <a:off x="2844042" y="-9525"/>
                <a:ext cx="10873299" cy="94297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4200">
                    <a:solidFill>
                      <a:schemeClr val="bg2">
                        <a:lumMod val="50000"/>
                      </a:schemeClr>
                    </a:solidFill>
                  </a:rPr>
                  <a:t>IMPOSTO DE RENDA 2025 </a:t>
                </a:r>
              </a:p>
            </xdr:txBody>
          </xdr:sp>
          <xdr:sp macro="" textlink="">
            <xdr:nvSpPr>
              <xdr:cNvPr id="33" name="Retângulo Arredondado 32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SpPr/>
            </xdr:nvSpPr>
            <xdr:spPr>
              <a:xfrm>
                <a:off x="4092920" y="1143000"/>
                <a:ext cx="1785872" cy="409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2">
                        <a:lumMod val="50000"/>
                      </a:schemeClr>
                    </a:solidFill>
                  </a:rPr>
                  <a:t>TITULAR</a:t>
                </a:r>
              </a:p>
            </xdr:txBody>
          </xdr:sp>
          <xdr:sp macro="" textlink="">
            <xdr:nvSpPr>
              <xdr:cNvPr id="34" name="Retângulo Arredondado 33">
                <a:hlinkClick xmlns:r="http://schemas.openxmlformats.org/officeDocument/2006/relationships" r:id="rId1"/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6917083" y="1162050"/>
                <a:ext cx="1785003" cy="409575"/>
              </a:xfrm>
              <a:prstGeom prst="roundRect">
                <a:avLst/>
              </a:prstGeom>
              <a:solidFill>
                <a:schemeClr val="accent2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1"/>
                    </a:solidFill>
                  </a:rPr>
                  <a:t>INFORMES</a:t>
                </a:r>
              </a:p>
            </xdr:txBody>
          </xdr:sp>
          <xdr:sp macro="" textlink="">
            <xdr:nvSpPr>
              <xdr:cNvPr id="35" name="Retângulo Arredondado 34">
                <a:hlinkClick xmlns:r="http://schemas.openxmlformats.org/officeDocument/2006/relationships" r:id="rId1"/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9741245" y="1181101"/>
                <a:ext cx="1785872" cy="409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2">
                        <a:lumMod val="50000"/>
                      </a:schemeClr>
                    </a:solidFill>
                  </a:rPr>
                  <a:t>NOTAS</a:t>
                </a:r>
              </a:p>
            </xdr:txBody>
          </xdr:sp>
        </xdr:grpSp>
      </xdr:grpSp>
      <xdr:pic>
        <xdr:nvPicPr>
          <xdr:cNvPr id="2" name="Imagem 1" descr="407-4070893_leao-png-leao-com-fundo-branco - Contabilidade Moura">
            <a:extLst>
              <a:ext uri="{FF2B5EF4-FFF2-40B4-BE49-F238E27FC236}">
                <a16:creationId xmlns:a16="http://schemas.microsoft.com/office/drawing/2014/main" id="{46640DC8-DF74-4A05-B143-24238808300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975"/>
          <a:stretch/>
        </xdr:blipFill>
        <xdr:spPr bwMode="auto">
          <a:xfrm>
            <a:off x="9582151" y="114300"/>
            <a:ext cx="1295678" cy="14404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Imagem 5" descr="407-4070893_leao-png-leao-com-fundo-branco - Contabilidade Moura">
            <a:extLst>
              <a:ext uri="{FF2B5EF4-FFF2-40B4-BE49-F238E27FC236}">
                <a16:creationId xmlns:a16="http://schemas.microsoft.com/office/drawing/2014/main" id="{B8A9971E-C172-49E0-BD6C-76166D145B6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975"/>
          <a:stretch/>
        </xdr:blipFill>
        <xdr:spPr bwMode="auto">
          <a:xfrm>
            <a:off x="266700" y="102875"/>
            <a:ext cx="1295678" cy="14404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85725</xdr:rowOff>
    </xdr:to>
    <xdr:sp macro="" textlink="">
      <xdr:nvSpPr>
        <xdr:cNvPr id="3" name="AutoShape 4" descr="Animal Leão PNG Transparente [download] - Designi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4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114300</xdr:rowOff>
    </xdr:to>
    <xdr:sp macro="" textlink="">
      <xdr:nvSpPr>
        <xdr:cNvPr id="5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</xdr:col>
      <xdr:colOff>19050</xdr:colOff>
      <xdr:row>26</xdr:row>
      <xdr:rowOff>142875</xdr:rowOff>
    </xdr:from>
    <xdr:to>
      <xdr:col>6</xdr:col>
      <xdr:colOff>1028700</xdr:colOff>
      <xdr:row>29</xdr:row>
      <xdr:rowOff>0</xdr:rowOff>
    </xdr:to>
    <xdr:grpSp>
      <xdr:nvGrpSpPr>
        <xdr:cNvPr id="21" name="Agrupar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3181350" y="5381625"/>
          <a:ext cx="1009650" cy="428625"/>
          <a:chOff x="9877425" y="5476875"/>
          <a:chExt cx="1009650" cy="428625"/>
        </a:xfrm>
      </xdr:grpSpPr>
      <xdr:sp macro="" textlink="">
        <xdr:nvSpPr>
          <xdr:cNvPr id="22" name="Seta para a Direita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 rot="10800000">
            <a:off x="9877425" y="5476875"/>
            <a:ext cx="1009650" cy="428625"/>
          </a:xfrm>
          <a:prstGeom prst="rightArrow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CaixaDeTexto 2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10086975" y="5581650"/>
            <a:ext cx="800100" cy="2095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chemeClr val="bg2">
                    <a:lumMod val="50000"/>
                  </a:schemeClr>
                </a:solidFill>
              </a:rPr>
              <a:t>ANTERIOR</a:t>
            </a:r>
          </a:p>
        </xdr:txBody>
      </xdr:sp>
    </xdr:grp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2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2DB32BC-081A-4942-9CB4-1003DAA68279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114300</xdr:rowOff>
    </xdr:to>
    <xdr:sp macro="" textlink="">
      <xdr:nvSpPr>
        <xdr:cNvPr id="6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0BC21833-6166-464E-ADD3-3CA9434BA301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34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9018635C-6F5D-4BB1-A50C-F47ECA3A4EF4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35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35A4108B-F31C-4757-AA52-807C86BF4C6B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46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5BD7E2FE-9FE6-4605-BF84-3D20C49B1F9F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47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C515AC42-2F05-43CF-A6EC-5BD98A7A85A8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58" name="AutoShape 7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70CEF165-E4C0-40D9-A107-202CB2EA20BF}"/>
            </a:ext>
          </a:extLst>
        </xdr:cNvPr>
        <xdr:cNvSpPr>
          <a:spLocks noChangeAspect="1" noChangeArrowheads="1"/>
        </xdr:cNvSpPr>
      </xdr:nvSpPr>
      <xdr:spPr bwMode="auto">
        <a:xfrm>
          <a:off x="3162300" y="1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59" name="AutoShape 8" descr="77,800+ Lion Vector Stock Illustrations, Royalty-Free Vector Graphics &amp;  Clip Art - iStock | Green leaf vector, Lion, Lion drawing">
          <a:extLst>
            <a:ext uri="{FF2B5EF4-FFF2-40B4-BE49-F238E27FC236}">
              <a16:creationId xmlns:a16="http://schemas.microsoft.com/office/drawing/2014/main" id="{CB6FB72A-EB59-474F-B7FE-5AC12A039CEB}"/>
            </a:ext>
          </a:extLst>
        </xdr:cNvPr>
        <xdr:cNvSpPr>
          <a:spLocks noChangeAspect="1" noChangeArrowheads="1"/>
        </xdr:cNvSpPr>
      </xdr:nvSpPr>
      <xdr:spPr bwMode="auto">
        <a:xfrm>
          <a:off x="31623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14</xdr:col>
      <xdr:colOff>9525</xdr:colOff>
      <xdr:row>9</xdr:row>
      <xdr:rowOff>51712</xdr:rowOff>
    </xdr:to>
    <xdr:grpSp>
      <xdr:nvGrpSpPr>
        <xdr:cNvPr id="88" name="Agrupar 87">
          <a:extLst>
            <a:ext uri="{FF2B5EF4-FFF2-40B4-BE49-F238E27FC236}">
              <a16:creationId xmlns:a16="http://schemas.microsoft.com/office/drawing/2014/main" id="{C0D0E0CA-8140-D200-E4DD-90F193134F1F}"/>
            </a:ext>
          </a:extLst>
        </xdr:cNvPr>
        <xdr:cNvGrpSpPr/>
      </xdr:nvGrpSpPr>
      <xdr:grpSpPr>
        <a:xfrm>
          <a:off x="114300" y="95250"/>
          <a:ext cx="10972800" cy="1461412"/>
          <a:chOff x="114300" y="95250"/>
          <a:chExt cx="10972800" cy="1461412"/>
        </a:xfrm>
      </xdr:grpSpPr>
      <xdr:grpSp>
        <xdr:nvGrpSpPr>
          <xdr:cNvPr id="78" name="Agrupar 77">
            <a:extLst>
              <a:ext uri="{FF2B5EF4-FFF2-40B4-BE49-F238E27FC236}">
                <a16:creationId xmlns:a16="http://schemas.microsoft.com/office/drawing/2014/main" id="{E30EB204-C786-4185-A5E5-EDFC016D4283}"/>
              </a:ext>
            </a:extLst>
          </xdr:cNvPr>
          <xdr:cNvGrpSpPr/>
        </xdr:nvGrpSpPr>
        <xdr:grpSpPr>
          <a:xfrm>
            <a:off x="114300" y="95250"/>
            <a:ext cx="10972800" cy="1154425"/>
            <a:chOff x="-1" y="-2374"/>
            <a:chExt cx="13982701" cy="1790700"/>
          </a:xfrm>
        </xdr:grpSpPr>
        <xdr:pic>
          <xdr:nvPicPr>
            <xdr:cNvPr id="79" name="Imagem 78" descr="No que investir para ganhar dinheiro? Veja dicas e comece a ...">
              <a:extLst>
                <a:ext uri="{FF2B5EF4-FFF2-40B4-BE49-F238E27FC236}">
                  <a16:creationId xmlns:a16="http://schemas.microsoft.com/office/drawing/2014/main" id="{5019FE29-D918-19FF-7373-2EC7A8396C0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>
              <a:duotone>
                <a:schemeClr val="bg2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-1" r="71762"/>
            <a:stretch/>
          </xdr:blipFill>
          <xdr:spPr bwMode="auto">
            <a:xfrm rot="5400000">
              <a:off x="6100763" y="-6100764"/>
              <a:ext cx="1781173" cy="1398270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  <a:effectLst>
              <a:outerShdw dist="50800" dir="5400000" algn="ctr" rotWithShape="0">
                <a:srgbClr val="000000"/>
              </a:outerShdw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" name="Imagem 79">
              <a:extLst>
                <a:ext uri="{FF2B5EF4-FFF2-40B4-BE49-F238E27FC236}">
                  <a16:creationId xmlns:a16="http://schemas.microsoft.com/office/drawing/2014/main" id="{3444B34E-44B9-AB89-817C-CF5B127DBB8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/>
            <a:srcRect r="148"/>
            <a:stretch/>
          </xdr:blipFill>
          <xdr:spPr>
            <a:xfrm>
              <a:off x="1905237" y="-2374"/>
              <a:ext cx="10021743" cy="1790700"/>
            </a:xfrm>
            <a:prstGeom prst="parallelogram">
              <a:avLst/>
            </a:prstGeom>
            <a:ln>
              <a:noFill/>
            </a:ln>
          </xdr:spPr>
        </xdr:pic>
        <xdr:grpSp>
          <xdr:nvGrpSpPr>
            <xdr:cNvPr id="81" name="Agrupar 80">
              <a:extLst>
                <a:ext uri="{FF2B5EF4-FFF2-40B4-BE49-F238E27FC236}">
                  <a16:creationId xmlns:a16="http://schemas.microsoft.com/office/drawing/2014/main" id="{E2657789-92B9-5E97-E84B-E4EED3326E11}"/>
                </a:ext>
              </a:extLst>
            </xdr:cNvPr>
            <xdr:cNvGrpSpPr/>
          </xdr:nvGrpSpPr>
          <xdr:grpSpPr>
            <a:xfrm>
              <a:off x="2189330" y="0"/>
              <a:ext cx="9519364" cy="1600201"/>
              <a:chOff x="2844042" y="-9525"/>
              <a:chExt cx="10873299" cy="1600201"/>
            </a:xfrm>
          </xdr:grpSpPr>
          <xdr:sp macro="" textlink="">
            <xdr:nvSpPr>
              <xdr:cNvPr id="82" name="CaixaDeTexto 81">
                <a:extLst>
                  <a:ext uri="{FF2B5EF4-FFF2-40B4-BE49-F238E27FC236}">
                    <a16:creationId xmlns:a16="http://schemas.microsoft.com/office/drawing/2014/main" id="{129FBC95-E545-FAC3-82D4-43C4CF15BF80}"/>
                  </a:ext>
                </a:extLst>
              </xdr:cNvPr>
              <xdr:cNvSpPr txBox="1"/>
            </xdr:nvSpPr>
            <xdr:spPr>
              <a:xfrm>
                <a:off x="2844042" y="-9525"/>
                <a:ext cx="10873299" cy="94297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4200">
                    <a:solidFill>
                      <a:schemeClr val="bg2">
                        <a:lumMod val="50000"/>
                      </a:schemeClr>
                    </a:solidFill>
                  </a:rPr>
                  <a:t>IMPOSTO DE RENDA 2025 </a:t>
                </a:r>
              </a:p>
            </xdr:txBody>
          </xdr:sp>
          <xdr:sp macro="" textlink="">
            <xdr:nvSpPr>
              <xdr:cNvPr id="83" name="Retângulo Arredondado 32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D067D21D-E332-5654-E9BD-AA5185D45494}"/>
                  </a:ext>
                </a:extLst>
              </xdr:cNvPr>
              <xdr:cNvSpPr/>
            </xdr:nvSpPr>
            <xdr:spPr>
              <a:xfrm>
                <a:off x="4092920" y="1143000"/>
                <a:ext cx="1785872" cy="409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2">
                        <a:lumMod val="50000"/>
                      </a:schemeClr>
                    </a:solidFill>
                  </a:rPr>
                  <a:t>TITULAR</a:t>
                </a:r>
              </a:p>
            </xdr:txBody>
          </xdr:sp>
          <xdr:sp macro="" textlink="">
            <xdr:nvSpPr>
              <xdr:cNvPr id="84" name="Retângulo Arredondado 33">
                <a:hlinkClick xmlns:r="http://schemas.openxmlformats.org/officeDocument/2006/relationships" r:id="rId1"/>
                <a:extLst>
                  <a:ext uri="{FF2B5EF4-FFF2-40B4-BE49-F238E27FC236}">
                    <a16:creationId xmlns:a16="http://schemas.microsoft.com/office/drawing/2014/main" id="{6B018A41-47B1-26CC-DA36-7C50E9E5ADB9}"/>
                  </a:ext>
                </a:extLst>
              </xdr:cNvPr>
              <xdr:cNvSpPr/>
            </xdr:nvSpPr>
            <xdr:spPr>
              <a:xfrm>
                <a:off x="6917083" y="1162050"/>
                <a:ext cx="1785003" cy="409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1">
                        <a:lumMod val="50000"/>
                      </a:schemeClr>
                    </a:solidFill>
                  </a:rPr>
                  <a:t>INFORMES</a:t>
                </a:r>
              </a:p>
            </xdr:txBody>
          </xdr:sp>
          <xdr:sp macro="" textlink="">
            <xdr:nvSpPr>
              <xdr:cNvPr id="85" name="Retângulo Arredondado 34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7B1B64F7-D8F0-94AB-882D-05ACA6540561}"/>
                  </a:ext>
                </a:extLst>
              </xdr:cNvPr>
              <xdr:cNvSpPr/>
            </xdr:nvSpPr>
            <xdr:spPr>
              <a:xfrm>
                <a:off x="9741245" y="1181101"/>
                <a:ext cx="1785872" cy="409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bg2">
                        <a:lumMod val="50000"/>
                      </a:schemeClr>
                    </a:solidFill>
                  </a:rPr>
                  <a:t>NOTAS</a:t>
                </a:r>
              </a:p>
            </xdr:txBody>
          </xdr:sp>
        </xdr:grpSp>
      </xdr:grpSp>
      <xdr:pic>
        <xdr:nvPicPr>
          <xdr:cNvPr id="86" name="Imagem 85" descr="407-4070893_leao-png-leao-com-fundo-branco - Contabilidade Moura">
            <a:extLst>
              <a:ext uri="{FF2B5EF4-FFF2-40B4-BE49-F238E27FC236}">
                <a16:creationId xmlns:a16="http://schemas.microsoft.com/office/drawing/2014/main" id="{C39A66F1-7DF8-4835-A630-345F5567C98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975"/>
          <a:stretch/>
        </xdr:blipFill>
        <xdr:spPr bwMode="auto">
          <a:xfrm>
            <a:off x="9582151" y="116200"/>
            <a:ext cx="1295678" cy="14404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7" name="Imagem 86" descr="407-4070893_leao-png-leao-com-fundo-branco - Contabilidade Moura">
            <a:extLst>
              <a:ext uri="{FF2B5EF4-FFF2-40B4-BE49-F238E27FC236}">
                <a16:creationId xmlns:a16="http://schemas.microsoft.com/office/drawing/2014/main" id="{58BA0EFE-6636-4311-A665-4C1BB0F43F4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975"/>
          <a:stretch/>
        </xdr:blipFill>
        <xdr:spPr bwMode="auto">
          <a:xfrm>
            <a:off x="266700" y="104775"/>
            <a:ext cx="1295678" cy="14404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8</xdr:col>
      <xdr:colOff>9525</xdr:colOff>
      <xdr:row>5</xdr:row>
      <xdr:rowOff>9525</xdr:rowOff>
    </xdr:from>
    <xdr:to>
      <xdr:col>8</xdr:col>
      <xdr:colOff>1234803</xdr:colOff>
      <xdr:row>6</xdr:row>
      <xdr:rowOff>83069</xdr:rowOff>
    </xdr:to>
    <xdr:sp macro="" textlink="">
      <xdr:nvSpPr>
        <xdr:cNvPr id="89" name="Retângulo Arredondado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7BFEAD-49FA-4F52-B522-5546BC65EC49}"/>
            </a:ext>
          </a:extLst>
        </xdr:cNvPr>
        <xdr:cNvSpPr/>
      </xdr:nvSpPr>
      <xdr:spPr>
        <a:xfrm>
          <a:off x="6572250" y="866775"/>
          <a:ext cx="1225278" cy="26404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G14:I26" totalsRowShown="0" headerRowDxfId="7" dataDxfId="5" headerRowBorderDxfId="6" tableBorderDxfId="4" totalsRowBorderDxfId="3">
  <autoFilter ref="G14:I26" xr:uid="{00000000-0009-0000-0100-000002000000}"/>
  <tableColumns count="3">
    <tableColumn id="1" xr3:uid="{00000000-0010-0000-0000-000001000000}" name="DATA" dataDxfId="2"/>
    <tableColumn id="2" xr3:uid="{00000000-0010-0000-0000-000002000000}" name="CATEGORIA" dataDxfId="1"/>
    <tableColumn id="3" xr3:uid="{00000000-0010-0000-0000-000003000000}" name="VALOR" dataDxfId="0" dataCellStyle="Moe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ocracio.pereira@hot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showGridLines="0" showRowColHeaders="0" tabSelected="1" workbookViewId="0">
      <pane ySplit="9" topLeftCell="A10" activePane="bottomLeft" state="frozen"/>
      <selection activeCell="H13" sqref="H13:H26"/>
      <selection pane="bottomLeft" activeCell="H13" sqref="H13"/>
    </sheetView>
  </sheetViews>
  <sheetFormatPr defaultColWidth="0" defaultRowHeight="15" x14ac:dyDescent="0.25"/>
  <cols>
    <col min="1" max="1" width="1.7109375" style="9" customWidth="1"/>
    <col min="2" max="6" width="9.140625" style="9" customWidth="1"/>
    <col min="7" max="7" width="30.28515625" style="9" customWidth="1"/>
    <col min="8" max="8" width="42.7109375" style="9" customWidth="1"/>
    <col min="9" max="13" width="9.140625" style="9" customWidth="1"/>
    <col min="14" max="14" width="1.7109375" style="9" customWidth="1"/>
    <col min="15" max="23" width="9.140625" style="9" hidden="1" customWidth="1"/>
    <col min="24" max="24" width="8.28515625" style="9" hidden="1" customWidth="1"/>
    <col min="25" max="25" width="0" style="9" hidden="1" customWidth="1"/>
    <col min="26" max="16384" width="9.140625" style="9" hidden="1"/>
  </cols>
  <sheetData>
    <row r="1" spans="7:17" customFormat="1" ht="7.5" customHeight="1" x14ac:dyDescent="0.25"/>
    <row r="2" spans="7:17" customFormat="1" x14ac:dyDescent="0.25"/>
    <row r="3" spans="7:17" customFormat="1" x14ac:dyDescent="0.25"/>
    <row r="4" spans="7:17" customFormat="1" x14ac:dyDescent="0.25"/>
    <row r="5" spans="7:17" customFormat="1" x14ac:dyDescent="0.25"/>
    <row r="6" spans="7:17" customFormat="1" x14ac:dyDescent="0.25"/>
    <row r="7" spans="7:17" customFormat="1" x14ac:dyDescent="0.25"/>
    <row r="8" spans="7:17" customFormat="1" x14ac:dyDescent="0.25"/>
    <row r="9" spans="7:17" customFormat="1" ht="6" customHeight="1" x14ac:dyDescent="0.25"/>
    <row r="10" spans="7:17" ht="24.95" customHeight="1" thickBot="1" x14ac:dyDescent="0.3">
      <c r="G10" s="29" t="s">
        <v>0</v>
      </c>
      <c r="H10" s="29"/>
      <c r="I10" s="22"/>
      <c r="J10" s="22"/>
      <c r="K10" s="22"/>
      <c r="L10" s="22"/>
      <c r="M10" s="22"/>
      <c r="N10" s="22"/>
      <c r="O10" s="22"/>
      <c r="P10" s="22"/>
      <c r="Q10" s="22"/>
    </row>
    <row r="11" spans="7:17" ht="18" customHeight="1" x14ac:dyDescent="0.25">
      <c r="G11" s="28" t="s">
        <v>86</v>
      </c>
      <c r="H11" s="28"/>
      <c r="I11" s="10"/>
      <c r="J11" s="10"/>
      <c r="K11" s="10"/>
      <c r="L11" s="10"/>
      <c r="M11" s="10"/>
      <c r="N11" s="10"/>
      <c r="O11" s="10"/>
      <c r="P11" s="10"/>
      <c r="Q11" s="10"/>
    </row>
    <row r="12" spans="7:17" ht="9.75" customHeight="1" x14ac:dyDescent="0.25"/>
    <row r="13" spans="7:17" ht="17.25" customHeight="1" x14ac:dyDescent="0.25">
      <c r="G13" s="11" t="s">
        <v>3</v>
      </c>
      <c r="H13" s="14" t="s">
        <v>16</v>
      </c>
    </row>
    <row r="14" spans="7:17" ht="17.25" customHeight="1" x14ac:dyDescent="0.25">
      <c r="G14" s="11" t="s">
        <v>2</v>
      </c>
      <c r="H14" s="15">
        <v>48448448472</v>
      </c>
    </row>
    <row r="15" spans="7:17" ht="17.25" customHeight="1" x14ac:dyDescent="0.25">
      <c r="G15" s="11" t="s">
        <v>4</v>
      </c>
      <c r="H15" s="16">
        <v>32874</v>
      </c>
    </row>
    <row r="16" spans="7:17" ht="17.25" customHeight="1" x14ac:dyDescent="0.25">
      <c r="G16" s="11" t="s">
        <v>14</v>
      </c>
      <c r="H16" s="14">
        <v>12345678</v>
      </c>
    </row>
    <row r="17" spans="7:8" ht="17.25" customHeight="1" x14ac:dyDescent="0.25">
      <c r="G17" s="11" t="s">
        <v>15</v>
      </c>
      <c r="H17" s="14" t="s">
        <v>17</v>
      </c>
    </row>
    <row r="18" spans="7:8" ht="17.25" customHeight="1" x14ac:dyDescent="0.25">
      <c r="G18" s="11" t="s">
        <v>5</v>
      </c>
      <c r="H18" s="14" t="s">
        <v>18</v>
      </c>
    </row>
    <row r="19" spans="7:8" ht="17.25" customHeight="1" x14ac:dyDescent="0.25">
      <c r="G19" s="11" t="s">
        <v>6</v>
      </c>
      <c r="H19" s="14" t="s">
        <v>22</v>
      </c>
    </row>
    <row r="20" spans="7:8" ht="17.25" customHeight="1" x14ac:dyDescent="0.25">
      <c r="G20" s="11" t="s">
        <v>7</v>
      </c>
      <c r="H20" s="17">
        <v>80178150</v>
      </c>
    </row>
    <row r="21" spans="7:8" ht="17.25" customHeight="1" x14ac:dyDescent="0.25">
      <c r="G21" s="11" t="s">
        <v>8</v>
      </c>
      <c r="H21" s="18">
        <v>5132358470</v>
      </c>
    </row>
    <row r="22" spans="7:8" ht="17.25" customHeight="1" x14ac:dyDescent="0.25">
      <c r="G22" s="11" t="s">
        <v>13</v>
      </c>
      <c r="H22" s="19">
        <v>51992408670</v>
      </c>
    </row>
    <row r="23" spans="7:8" ht="17.25" customHeight="1" x14ac:dyDescent="0.25">
      <c r="G23" s="11" t="s">
        <v>9</v>
      </c>
      <c r="H23" s="20" t="s">
        <v>19</v>
      </c>
    </row>
    <row r="24" spans="7:8" ht="17.25" customHeight="1" x14ac:dyDescent="0.25">
      <c r="G24" s="11" t="s">
        <v>10</v>
      </c>
      <c r="H24" s="14" t="s">
        <v>20</v>
      </c>
    </row>
    <row r="25" spans="7:8" ht="17.25" customHeight="1" x14ac:dyDescent="0.25">
      <c r="G25" s="11" t="s">
        <v>11</v>
      </c>
      <c r="H25" s="14" t="s">
        <v>21</v>
      </c>
    </row>
    <row r="26" spans="7:8" ht="17.25" customHeight="1" x14ac:dyDescent="0.25">
      <c r="G26" s="11" t="s">
        <v>12</v>
      </c>
      <c r="H26" s="14" t="s">
        <v>20</v>
      </c>
    </row>
  </sheetData>
  <sheetProtection sheet="1" objects="1" scenarios="1" selectLockedCells="1"/>
  <mergeCells count="2">
    <mergeCell ref="G11:H11"/>
    <mergeCell ref="G10:H10"/>
  </mergeCells>
  <dataValidations count="1">
    <dataValidation type="list" allowBlank="1" showInputMessage="1" showErrorMessage="1" sqref="H24:H26" xr:uid="{00000000-0002-0000-0000-000000000000}">
      <formula1>"Sim,Não"</formula1>
    </dataValidation>
  </dataValidations>
  <hyperlinks>
    <hyperlink ref="H23" r:id="rId1" xr:uid="{00000000-0004-0000-0000-000000000000}"/>
  </hyperlink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"/>
  <sheetViews>
    <sheetView showGridLines="0" showRowColHeaders="0" workbookViewId="0">
      <pane ySplit="9" topLeftCell="A12" activePane="bottomLeft" state="frozen"/>
      <selection activeCell="H13" sqref="H13:H26"/>
      <selection pane="bottomLeft" activeCell="H16" sqref="H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1.7109375" customWidth="1"/>
    <col min="2" max="6" width="9.140625" customWidth="1"/>
    <col min="7" max="7" width="30.28515625" customWidth="1"/>
    <col min="8" max="8" width="42.85546875" customWidth="1"/>
    <col min="9" max="13" width="9.140625" customWidth="1"/>
    <col min="14" max="14" width="1.7109375" customWidth="1"/>
    <col min="15" max="23" width="9.140625" hidden="1" customWidth="1"/>
    <col min="24" max="24" width="8.28515625" hidden="1" customWidth="1"/>
    <col min="25" max="16384" width="9.140625" hidden="1"/>
  </cols>
  <sheetData>
    <row r="1" spans="7:17" ht="7.5" customHeight="1" x14ac:dyDescent="0.25"/>
    <row r="9" spans="7:17" ht="6" customHeight="1" x14ac:dyDescent="0.25"/>
    <row r="10" spans="7:17" ht="24.95" customHeight="1" thickBot="1" x14ac:dyDescent="0.3">
      <c r="G10" s="31" t="s">
        <v>23</v>
      </c>
      <c r="H10" s="31"/>
      <c r="I10" s="21"/>
      <c r="J10" s="21"/>
      <c r="K10" s="21"/>
      <c r="L10" s="21"/>
      <c r="M10" s="21"/>
      <c r="N10" s="21"/>
      <c r="O10" s="21"/>
      <c r="P10" s="21"/>
      <c r="Q10" s="21"/>
    </row>
    <row r="11" spans="7:17" ht="18" customHeight="1" x14ac:dyDescent="0.25">
      <c r="G11" s="30" t="s">
        <v>1</v>
      </c>
      <c r="H11" s="30"/>
      <c r="I11" s="2"/>
      <c r="J11" s="2"/>
      <c r="K11" s="2"/>
      <c r="L11" s="2"/>
      <c r="M11" s="2"/>
      <c r="N11" s="2"/>
      <c r="O11" s="2"/>
      <c r="P11" s="2"/>
      <c r="Q11" s="2"/>
    </row>
    <row r="12" spans="7:17" ht="9.75" customHeight="1" x14ac:dyDescent="0.25"/>
    <row r="13" spans="7:17" ht="17.25" customHeight="1" x14ac:dyDescent="0.25">
      <c r="G13" s="12" t="s">
        <v>94</v>
      </c>
      <c r="H13" s="13">
        <f>H17+H22+H27</f>
        <v>1036000</v>
      </c>
    </row>
    <row r="14" spans="7:17" ht="9.75" customHeight="1" x14ac:dyDescent="0.25"/>
    <row r="15" spans="7:17" ht="17.25" customHeight="1" x14ac:dyDescent="0.25">
      <c r="G15" s="3" t="s">
        <v>27</v>
      </c>
    </row>
    <row r="16" spans="7:17" ht="17.25" customHeight="1" x14ac:dyDescent="0.25">
      <c r="G16" s="1" t="s">
        <v>25</v>
      </c>
      <c r="H16" s="23" t="s">
        <v>64</v>
      </c>
    </row>
    <row r="17" spans="7:8" ht="17.25" customHeight="1" x14ac:dyDescent="0.25">
      <c r="G17" s="1" t="s">
        <v>26</v>
      </c>
      <c r="H17" s="24">
        <v>650000</v>
      </c>
    </row>
    <row r="18" spans="7:8" ht="17.25" customHeight="1" x14ac:dyDescent="0.25">
      <c r="G18" s="1" t="s">
        <v>24</v>
      </c>
      <c r="H18" s="14" t="s">
        <v>81</v>
      </c>
    </row>
    <row r="19" spans="7:8" ht="17.25" customHeight="1" x14ac:dyDescent="0.25"/>
    <row r="20" spans="7:8" ht="17.25" customHeight="1" x14ac:dyDescent="0.25">
      <c r="G20" s="3" t="s">
        <v>28</v>
      </c>
    </row>
    <row r="21" spans="7:8" ht="17.25" customHeight="1" x14ac:dyDescent="0.25">
      <c r="G21" s="1" t="s">
        <v>25</v>
      </c>
      <c r="H21" s="23" t="s">
        <v>70</v>
      </c>
    </row>
    <row r="22" spans="7:8" ht="17.25" customHeight="1" x14ac:dyDescent="0.25">
      <c r="G22" s="1" t="s">
        <v>26</v>
      </c>
      <c r="H22" s="24">
        <v>128000</v>
      </c>
    </row>
    <row r="23" spans="7:8" ht="17.25" customHeight="1" x14ac:dyDescent="0.25">
      <c r="G23" s="1" t="s">
        <v>24</v>
      </c>
      <c r="H23" s="14" t="s">
        <v>82</v>
      </c>
    </row>
    <row r="24" spans="7:8" ht="17.25" customHeight="1" x14ac:dyDescent="0.25"/>
    <row r="25" spans="7:8" ht="17.25" customHeight="1" x14ac:dyDescent="0.25">
      <c r="G25" s="3" t="s">
        <v>29</v>
      </c>
    </row>
    <row r="26" spans="7:8" ht="17.25" customHeight="1" x14ac:dyDescent="0.25">
      <c r="G26" s="1" t="s">
        <v>25</v>
      </c>
      <c r="H26" s="23" t="s">
        <v>33</v>
      </c>
    </row>
    <row r="27" spans="7:8" ht="17.25" customHeight="1" x14ac:dyDescent="0.25">
      <c r="G27" s="1" t="s">
        <v>26</v>
      </c>
      <c r="H27" s="24">
        <v>258000</v>
      </c>
    </row>
    <row r="28" spans="7:8" ht="17.25" customHeight="1" x14ac:dyDescent="0.25">
      <c r="G28" s="1" t="s">
        <v>24</v>
      </c>
      <c r="H28" s="14" t="s">
        <v>83</v>
      </c>
    </row>
  </sheetData>
  <sheetProtection sheet="1" objects="1" scenarios="1" selectLockedCells="1"/>
  <mergeCells count="2">
    <mergeCell ref="G11:H11"/>
    <mergeCell ref="G10:H10"/>
  </mergeCells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ão encontrado" error="Banco não encontado" promptTitle="Informe o nome do Banco" prompt="Informe o nome do Banco vinculado ao seu CPF" xr:uid="{B4AC3873-8AD4-4B7C-9C94-A3F6661E60C7}">
          <x14:formula1>
            <xm:f>TABELAS!$A$2:$A$51</xm:f>
          </x14:formula1>
          <xm:sqref>H16 H21 H26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XF26"/>
  <sheetViews>
    <sheetView showGridLines="0" showRowColHeaders="0" workbookViewId="0">
      <pane ySplit="9" topLeftCell="A10" activePane="bottomLeft" state="frozen"/>
      <selection activeCell="H13" sqref="H13:H26"/>
      <selection pane="bottomLeft" activeCell="I15" sqref="I15"/>
    </sheetView>
  </sheetViews>
  <sheetFormatPr defaultColWidth="0" defaultRowHeight="15" x14ac:dyDescent="0.25"/>
  <cols>
    <col min="1" max="1" width="1.7109375" customWidth="1"/>
    <col min="2" max="6" width="9.140625" customWidth="1"/>
    <col min="7" max="7" width="22.85546875" customWidth="1"/>
    <col min="8" max="8" width="28.140625" customWidth="1"/>
    <col min="9" max="9" width="22" customWidth="1"/>
    <col min="10" max="14" width="9.140625" customWidth="1"/>
    <col min="15" max="15" width="1.7109375" customWidth="1"/>
    <col min="16" max="24" width="0" hidden="1" customWidth="1"/>
    <col min="25" max="25" width="8.28515625" hidden="1" customWidth="1"/>
    <col min="26" max="6038" width="0" hidden="1" customWidth="1"/>
    <col min="6039" max="16384" width="9.140625" hidden="1"/>
  </cols>
  <sheetData>
    <row r="1" spans="7:18" ht="7.5" customHeight="1" x14ac:dyDescent="0.25"/>
    <row r="9" spans="7:18" ht="6" customHeight="1" x14ac:dyDescent="0.25"/>
    <row r="10" spans="7:18" ht="24.95" customHeight="1" thickBot="1" x14ac:dyDescent="0.3">
      <c r="G10" s="31" t="s">
        <v>84</v>
      </c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</row>
    <row r="11" spans="7:18" ht="18" customHeight="1" x14ac:dyDescent="0.25">
      <c r="G11" s="30" t="s">
        <v>85</v>
      </c>
      <c r="H11" s="30"/>
      <c r="I11" s="30"/>
      <c r="J11" s="2"/>
      <c r="K11" s="2"/>
      <c r="L11" s="2"/>
      <c r="M11" s="2"/>
      <c r="N11" s="2"/>
      <c r="O11" s="2"/>
      <c r="P11" s="2"/>
      <c r="Q11" s="2"/>
      <c r="R11" s="2"/>
    </row>
    <row r="12" spans="7:18" ht="9.75" customHeight="1" x14ac:dyDescent="0.25"/>
    <row r="13" spans="7:18" ht="17.25" customHeight="1" x14ac:dyDescent="0.25">
      <c r="G13" s="34" t="s">
        <v>87</v>
      </c>
      <c r="H13" s="34"/>
      <c r="I13" s="34"/>
    </row>
    <row r="14" spans="7:18" ht="17.25" customHeight="1" x14ac:dyDescent="0.25">
      <c r="G14" s="4" t="s">
        <v>88</v>
      </c>
      <c r="H14" s="5" t="s">
        <v>89</v>
      </c>
      <c r="I14" s="6" t="s">
        <v>90</v>
      </c>
    </row>
    <row r="15" spans="7:18" ht="17.25" customHeight="1" x14ac:dyDescent="0.25">
      <c r="G15" s="25">
        <v>45658</v>
      </c>
      <c r="H15" s="26" t="s">
        <v>91</v>
      </c>
      <c r="I15" s="27">
        <v>3000</v>
      </c>
    </row>
    <row r="16" spans="7:18" ht="17.25" customHeight="1" x14ac:dyDescent="0.25">
      <c r="G16" s="25">
        <v>45689</v>
      </c>
      <c r="H16" s="26" t="s">
        <v>92</v>
      </c>
      <c r="I16" s="27">
        <v>2350</v>
      </c>
    </row>
    <row r="17" spans="7:13" ht="17.25" customHeight="1" x14ac:dyDescent="0.25">
      <c r="G17" s="25">
        <v>45717</v>
      </c>
      <c r="H17" s="26" t="s">
        <v>93</v>
      </c>
      <c r="I17" s="27">
        <v>4500</v>
      </c>
    </row>
    <row r="18" spans="7:13" ht="17.25" customHeight="1" x14ac:dyDescent="0.25">
      <c r="G18" s="25">
        <v>45748</v>
      </c>
      <c r="H18" s="26" t="s">
        <v>91</v>
      </c>
      <c r="I18" s="27">
        <v>2396</v>
      </c>
      <c r="M18" s="7"/>
    </row>
    <row r="19" spans="7:13" ht="17.25" customHeight="1" x14ac:dyDescent="0.25">
      <c r="G19" s="25">
        <v>45778</v>
      </c>
      <c r="H19" s="26" t="s">
        <v>92</v>
      </c>
      <c r="I19" s="27">
        <v>3118</v>
      </c>
      <c r="M19" s="7"/>
    </row>
    <row r="20" spans="7:13" ht="17.25" customHeight="1" x14ac:dyDescent="0.25">
      <c r="G20" s="25">
        <v>45809</v>
      </c>
      <c r="H20" s="26" t="s">
        <v>93</v>
      </c>
      <c r="I20" s="27">
        <v>2190</v>
      </c>
      <c r="M20" s="7"/>
    </row>
    <row r="21" spans="7:13" ht="17.25" customHeight="1" x14ac:dyDescent="0.25">
      <c r="G21" s="25">
        <v>45839</v>
      </c>
      <c r="H21" s="26" t="s">
        <v>91</v>
      </c>
      <c r="I21" s="27">
        <v>3242</v>
      </c>
      <c r="M21" s="8"/>
    </row>
    <row r="22" spans="7:13" ht="17.25" customHeight="1" x14ac:dyDescent="0.25">
      <c r="G22" s="25">
        <v>45870</v>
      </c>
      <c r="H22" s="26" t="s">
        <v>92</v>
      </c>
      <c r="I22" s="27">
        <v>2968</v>
      </c>
    </row>
    <row r="23" spans="7:13" ht="17.25" customHeight="1" x14ac:dyDescent="0.25">
      <c r="G23" s="25">
        <v>45901</v>
      </c>
      <c r="H23" s="26" t="s">
        <v>93</v>
      </c>
      <c r="I23" s="27">
        <v>2934</v>
      </c>
    </row>
    <row r="24" spans="7:13" ht="17.25" customHeight="1" x14ac:dyDescent="0.25">
      <c r="G24" s="25">
        <v>45931</v>
      </c>
      <c r="H24" s="26" t="s">
        <v>92</v>
      </c>
      <c r="I24" s="27">
        <v>3350</v>
      </c>
    </row>
    <row r="25" spans="7:13" ht="17.25" customHeight="1" x14ac:dyDescent="0.25">
      <c r="G25" s="25">
        <v>45962</v>
      </c>
      <c r="H25" s="26" t="s">
        <v>93</v>
      </c>
      <c r="I25" s="27">
        <v>1801</v>
      </c>
    </row>
    <row r="26" spans="7:13" ht="17.25" customHeight="1" x14ac:dyDescent="0.25">
      <c r="G26" s="25">
        <v>45992</v>
      </c>
      <c r="H26" s="26" t="s">
        <v>93</v>
      </c>
      <c r="I26" s="27">
        <v>1802</v>
      </c>
    </row>
  </sheetData>
  <sheetProtection sheet="1" objects="1" scenarios="1" selectLockedCells="1" autoFilter="0"/>
  <mergeCells count="3">
    <mergeCell ref="G10:R10"/>
    <mergeCell ref="G11:I11"/>
    <mergeCell ref="G13:I13"/>
  </mergeCells>
  <dataValidations count="1">
    <dataValidation type="list" allowBlank="1" showInputMessage="1" showErrorMessage="1" sqref="H15:H26" xr:uid="{00000000-0002-0000-0200-000000000000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"/>
  <sheetViews>
    <sheetView workbookViewId="0">
      <selection activeCell="C21" sqref="C21"/>
    </sheetView>
  </sheetViews>
  <sheetFormatPr defaultRowHeight="15" x14ac:dyDescent="0.25"/>
  <cols>
    <col min="1" max="1" width="45.85546875" customWidth="1"/>
  </cols>
  <sheetData>
    <row r="1" spans="1:1" x14ac:dyDescent="0.25">
      <c r="A1" t="s">
        <v>30</v>
      </c>
    </row>
    <row r="2" spans="1:1" x14ac:dyDescent="0.25">
      <c r="A2" t="s">
        <v>64</v>
      </c>
    </row>
    <row r="3" spans="1:1" x14ac:dyDescent="0.25">
      <c r="A3" t="s">
        <v>71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  <row r="10" spans="1:1" x14ac:dyDescent="0.25">
      <c r="A10" t="s">
        <v>72</v>
      </c>
    </row>
    <row r="11" spans="1:1" x14ac:dyDescent="0.25">
      <c r="A11" t="s">
        <v>74</v>
      </c>
    </row>
    <row r="12" spans="1:1" x14ac:dyDescent="0.25">
      <c r="A12" t="s">
        <v>73</v>
      </c>
    </row>
    <row r="13" spans="1:1" x14ac:dyDescent="0.25">
      <c r="A13" t="s">
        <v>76</v>
      </c>
    </row>
    <row r="14" spans="1:1" x14ac:dyDescent="0.25">
      <c r="A14" t="s">
        <v>75</v>
      </c>
    </row>
    <row r="15" spans="1:1" x14ac:dyDescent="0.25">
      <c r="A15" t="s">
        <v>77</v>
      </c>
    </row>
    <row r="16" spans="1:1" x14ac:dyDescent="0.25">
      <c r="A16" t="s">
        <v>78</v>
      </c>
    </row>
    <row r="17" spans="1:1" x14ac:dyDescent="0.25">
      <c r="A17" t="s">
        <v>79</v>
      </c>
    </row>
    <row r="18" spans="1:1" x14ac:dyDescent="0.25">
      <c r="A18" t="s">
        <v>80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42</v>
      </c>
    </row>
    <row r="31" spans="1:1" x14ac:dyDescent="0.25">
      <c r="A31" t="s">
        <v>43</v>
      </c>
    </row>
    <row r="32" spans="1:1" x14ac:dyDescent="0.25">
      <c r="A32" t="s">
        <v>44</v>
      </c>
    </row>
    <row r="33" spans="1:1" x14ac:dyDescent="0.25">
      <c r="A33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48</v>
      </c>
    </row>
    <row r="37" spans="1:1" x14ac:dyDescent="0.25">
      <c r="A37" t="s">
        <v>49</v>
      </c>
    </row>
    <row r="38" spans="1:1" x14ac:dyDescent="0.25">
      <c r="A38" t="s">
        <v>50</v>
      </c>
    </row>
    <row r="39" spans="1:1" x14ac:dyDescent="0.25">
      <c r="A39" t="s">
        <v>51</v>
      </c>
    </row>
    <row r="40" spans="1:1" x14ac:dyDescent="0.25">
      <c r="A40" t="s">
        <v>52</v>
      </c>
    </row>
    <row r="41" spans="1:1" x14ac:dyDescent="0.25">
      <c r="A41" t="s">
        <v>53</v>
      </c>
    </row>
    <row r="42" spans="1:1" x14ac:dyDescent="0.25">
      <c r="A42" t="s">
        <v>54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6F3B02-36AE-48B3-939B-9DDA2962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Alexandre.Conte@Cieers.org.br</dc:creator>
  <cp:lastModifiedBy>Alexandre.Conte@Cieers.org.br</cp:lastModifiedBy>
  <dcterms:created xsi:type="dcterms:W3CDTF">2025-06-23T11:02:21Z</dcterms:created>
  <dcterms:modified xsi:type="dcterms:W3CDTF">2026-02-09T10:51:48Z</dcterms:modified>
</cp:coreProperties>
</file>